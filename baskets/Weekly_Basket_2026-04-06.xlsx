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andrewblount/Local/development/options_trading/baskets/"/>
    </mc:Choice>
  </mc:AlternateContent>
  <xr:revisionPtr revIDLastSave="0" documentId="13_ncr:1_{BD273A5B-84C0-F34D-8215-AF9106952CAC}" xr6:coauthVersionLast="47" xr6:coauthVersionMax="47" xr10:uidLastSave="{00000000-0000-0000-0000-000000000000}"/>
  <bookViews>
    <workbookView xWindow="4040" yWindow="1160" windowWidth="34820" windowHeight="22860" tabRatio="500" xr2:uid="{00000000-000D-0000-FFFF-FFFF00000000}"/>
  </bookViews>
  <sheets>
    <sheet name="Basket Overview" sheetId="1" r:id="rId1"/>
    <sheet name="Thesis Confirmation" sheetId="2" r:id="rId2"/>
    <sheet name="Order Construction" sheetId="3" r:id="rId3"/>
    <sheet name="Daily Theta"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4" i="4" l="1"/>
  <c r="D12" i="4"/>
  <c r="B12" i="4"/>
  <c r="I31" i="1"/>
  <c r="H31" i="1"/>
</calcChain>
</file>

<file path=xl/sharedStrings.xml><?xml version="1.0" encoding="utf-8"?>
<sst xmlns="http://schemas.openxmlformats.org/spreadsheetml/2006/main" count="283" uniqueCount="190">
  <si>
    <t>FULL EDUCATIONAL DISCLAIMER</t>
  </si>
  <si>
    <t>I am not a financial advisor, registered broker, or investment professional. This is not financial, tax, legal, or investment advice. Naked call and naked put selling with aggressive sizing up to 25% of account equity per name carries extreme risk of rapid, total, or greater-than-account loss, including on surprise acquisition gaps (call side), regulatory or fraud gaps (put side), short squeezes, or systemic market crashes. Past performance in any backtest does not predict future results. Always verify every price, chain, margin requirement, and order live on your broker platform before submitting any real trade. You alone are responsible for execution, margin calls, regulatory compliance, taxes, and all outcomes. Test every concept in a paper account first.</t>
  </si>
  <si>
    <t>SYSTEM STATUS — Week of April 7, 2026</t>
  </si>
  <si>
    <t>Metric</t>
  </si>
  <si>
    <t>Value</t>
  </si>
  <si>
    <t>Interpretation</t>
  </si>
  <si>
    <t>GSRS (Grok Systemic Risk Score)</t>
  </si>
  <si>
    <t>2.93</t>
  </si>
  <si>
    <t>FULL AGGRESSIVE SIZING (0-3 range)</t>
  </si>
  <si>
    <t>VIX Close (Apr 2)</t>
  </si>
  <si>
    <t>23.87</t>
  </si>
  <si>
    <t>Elevated but within range</t>
  </si>
  <si>
    <t>VIX 1-Day Change</t>
  </si>
  <si>
    <t>-0.67</t>
  </si>
  <si>
    <t>Declining — favorable</t>
  </si>
  <si>
    <t>CBOE SKEW</t>
  </si>
  <si>
    <t>146.95</t>
  </si>
  <si>
    <t>Moderate tail risk</t>
  </si>
  <si>
    <t>HY OAS</t>
  </si>
  <si>
    <t>3.17</t>
  </si>
  <si>
    <t>Below 5yr avg (3.59) — credit healthy</t>
  </si>
  <si>
    <t>MOVE Index Proxy</t>
  </si>
  <si>
    <t>4.90</t>
  </si>
  <si>
    <t>Low bond volatility</t>
  </si>
  <si>
    <t>Acquisition Radar</t>
  </si>
  <si>
    <t>CLEAN</t>
  </si>
  <si>
    <t>No triggers on any call-side name</t>
  </si>
  <si>
    <t>Downside-Gap Radar</t>
  </si>
  <si>
    <t>No triggers on any put-side name</t>
  </si>
  <si>
    <t>Account Size (default)</t>
  </si>
  <si>
    <t>$1,000,000</t>
  </si>
  <si>
    <t>4× portfolio margin leverage</t>
  </si>
  <si>
    <t>GSRS 2.93 → Full aggressive sizing and full double-down protocol allowed on ALL put-side positions</t>
  </si>
  <si>
    <t>WEEKLY BASKET — 8 Names (4 Call + 4 Put)</t>
  </si>
  <si>
    <t>Ticker</t>
  </si>
  <si>
    <t>Side</t>
  </si>
  <si>
    <t>Price</t>
  </si>
  <si>
    <t>Strike</t>
  </si>
  <si>
    <t>Expiry</t>
  </si>
  <si>
    <t>Delta</t>
  </si>
  <si>
    <t>Credit (mid)</t>
  </si>
  <si>
    <t>Contracts</t>
  </si>
  <si>
    <t>Margin Alloc</t>
  </si>
  <si>
    <t>Break #1</t>
  </si>
  <si>
    <t>Break #2</t>
  </si>
  <si>
    <t>W</t>
  </si>
  <si>
    <t>NAKED CALL</t>
  </si>
  <si>
    <t>2026-04-17</t>
  </si>
  <si>
    <t>LCID</t>
  </si>
  <si>
    <t>2026-04-10</t>
  </si>
  <si>
    <t>RUN</t>
  </si>
  <si>
    <t>SOC</t>
  </si>
  <si>
    <t>ET</t>
  </si>
  <si>
    <t>NAKED PUT</t>
  </si>
  <si>
    <t>T</t>
  </si>
  <si>
    <t>CMCSA</t>
  </si>
  <si>
    <t>KMI</t>
  </si>
  <si>
    <t>TOTAL</t>
  </si>
  <si>
    <t>ILLUSTRATIVE CASH REQUIREMENT WITH 4× LEVERAGE</t>
  </si>
  <si>
    <t>Item</t>
  </si>
  <si>
    <t>Amount</t>
  </si>
  <si>
    <t>Note</t>
  </si>
  <si>
    <t>Total Margin Allocated</t>
  </si>
  <si>
    <t>$400,000</t>
  </si>
  <si>
    <t>8 names × $50,000 each</t>
  </si>
  <si>
    <t>Cash Required (÷4 leverage)</t>
  </si>
  <si>
    <t>$100,000</t>
  </si>
  <si>
    <t>10% of $1M account</t>
  </si>
  <si>
    <t>Remaining Buying Power</t>
  </si>
  <si>
    <t>$600,000</t>
  </si>
  <si>
    <t>Available for doubles + hedges</t>
  </si>
  <si>
    <t>Max Risk After Full Doubles</t>
  </si>
  <si>
    <t>25% × 4 names call + 25% × 4 names put (theoretical max)</t>
  </si>
  <si>
    <t>THESIS CONFIRMATION — Call Side (Naked Calls on Weak/Hyped Names)</t>
  </si>
  <si>
    <t>SI % Float</t>
  </si>
  <si>
    <t>Fan Score</t>
  </si>
  <si>
    <t>Buyback</t>
  </si>
  <si>
    <t>Acq Radar</t>
  </si>
  <si>
    <t>Distress Evidence</t>
  </si>
  <si>
    <t>Signals Met</t>
  </si>
  <si>
    <t>Score</t>
  </si>
  <si>
    <t>23.5%</t>
  </si>
  <si>
    <t>5 (moderate)</t>
  </si>
  <si>
    <t>0 (none)</t>
  </si>
  <si>
    <t>Clean</t>
  </si>
  <si>
    <t>Glassdoor 3.0, culture 2.9, layoffs, restructuring, 36% recommend</t>
  </si>
  <si>
    <t>5/5</t>
  </si>
  <si>
    <t>32.6%</t>
  </si>
  <si>
    <t>6 (moderate)</t>
  </si>
  <si>
    <t>Cash burn, no profitability path, EV hype deflating</t>
  </si>
  <si>
    <t>31.8%</t>
  </si>
  <si>
    <t>4 (low meme)</t>
  </si>
  <si>
    <t>Glassdoor 3.2, mass layoffs 2 yrs, -37% post-guidance, cautious 2026 outlook</t>
  </si>
  <si>
    <t>41.8%</t>
  </si>
  <si>
    <t>3 (low)</t>
  </si>
  <si>
    <t>Micro-cap energy, speculative operations</t>
  </si>
  <si>
    <t>THESIS CONFIRMATION — Put Side (Naked Puts on Strong/Real Names)</t>
  </si>
  <si>
    <t>DG Radar</t>
  </si>
  <si>
    <t>Positive Fundamentals</t>
  </si>
  <si>
    <t>1.0%</t>
  </si>
  <si>
    <t>8 (loyal MLP base)</t>
  </si>
  <si>
    <t>+1 (active)</t>
  </si>
  <si>
    <t>Strong cash flow, 8% yield, pipeline expansion</t>
  </si>
  <si>
    <t>1.4%</t>
  </si>
  <si>
    <t>8 (dividend loyal)</t>
  </si>
  <si>
    <t>Earnings beats, debt reduction, fiber growth</t>
  </si>
  <si>
    <t>1.9%</t>
  </si>
  <si>
    <t>7 (broad base)</t>
  </si>
  <si>
    <t>$15B+ buyback, broadband monopoly, stable EBITDA</t>
  </si>
  <si>
    <t>2.2%</t>
  </si>
  <si>
    <t>Fee-based pipeline, raised dividend 7 yrs running</t>
  </si>
  <si>
    <t>ILLUSTRATIVE LIMIT-ORDER CONSTRUCTION</t>
  </si>
  <si>
    <t>Entry: Monday April 7, 2026 at market open. All orders are SELL TO OPEN, LIMIT.</t>
  </si>
  <si>
    <t>Order Language</t>
  </si>
  <si>
    <t>Limit Price</t>
  </si>
  <si>
    <t>Est. Total Credit</t>
  </si>
  <si>
    <t>Profit Target (50-70%)</t>
  </si>
  <si>
    <t>STO 20 W Apr17 $90.00 Call @ $0.50 LMT</t>
  </si>
  <si>
    <t>$0.50</t>
  </si>
  <si>
    <t>$1,000</t>
  </si>
  <si>
    <t>$500-$700</t>
  </si>
  <si>
    <t>STO 71 LCID Apr10 $11.00 Call @ $0.07 LMT</t>
  </si>
  <si>
    <t>$0.07</t>
  </si>
  <si>
    <t>$497</t>
  </si>
  <si>
    <t>$249-$348</t>
  </si>
  <si>
    <t>STO 50 RUN Apr10 $15.00 Call @ $0.10 LMT</t>
  </si>
  <si>
    <t>$0.10</t>
  </si>
  <si>
    <t>$500</t>
  </si>
  <si>
    <t>$250-$350</t>
  </si>
  <si>
    <t>STO 18 SOC Apr17 $19.00 Call @ $0.28 LMT</t>
  </si>
  <si>
    <t>$0.28</t>
  </si>
  <si>
    <t>$504</t>
  </si>
  <si>
    <t>$252-$353</t>
  </si>
  <si>
    <t>STO 71 ET Apr17 $18.00 Put @ $0.07 LMT</t>
  </si>
  <si>
    <t>STO 42 T Apr17 $26.50 Put @ $0.12 LMT</t>
  </si>
  <si>
    <t>$0.12</t>
  </si>
  <si>
    <t>STO 45 CMCSA Apr17 $26.00 Put @ $0.11 LMT</t>
  </si>
  <si>
    <t>$0.11</t>
  </si>
  <si>
    <t>$495</t>
  </si>
  <si>
    <t>$248-$347</t>
  </si>
  <si>
    <t>STO 29 KMI Apr17 $31.00 Put @ $0.17 LMT</t>
  </si>
  <si>
    <t>$0.17</t>
  </si>
  <si>
    <t>$493</t>
  </si>
  <si>
    <t>$247-$345</t>
  </si>
  <si>
    <t>TOTAL EST. CREDIT</t>
  </si>
  <si>
    <t>~$4,490</t>
  </si>
  <si>
    <t>Day 1 of ~$10,000/day target</t>
  </si>
  <si>
    <t>DOUBLE-DOWN PROTOCOL — Price Alerts</t>
  </si>
  <si>
    <t>Break #1 Alert</t>
  </si>
  <si>
    <t>Action at Break #1</t>
  </si>
  <si>
    <t>Break #2 Alert</t>
  </si>
  <si>
    <t>Action at Break #2</t>
  </si>
  <si>
    <t>CALL</t>
  </si>
  <si>
    <t>$85.00 (20d high)</t>
  </si>
  <si>
    <t>Double to 40 contracts (15% risk)</t>
  </si>
  <si>
    <t>$119.98 (52w high)</t>
  </si>
  <si>
    <t>Double to 80 → MANDATORY EXIT</t>
  </si>
  <si>
    <t>$11.08 (20d high)</t>
  </si>
  <si>
    <t>Double to 142 contracts (15% risk)</t>
  </si>
  <si>
    <t>$12.15 (52w high)</t>
  </si>
  <si>
    <t>Double to 284 → MANDATORY EXIT</t>
  </si>
  <si>
    <t>$14.25 (20d high)</t>
  </si>
  <si>
    <t>Double to 100 contracts (15% risk)</t>
  </si>
  <si>
    <t>$22.44 (52w high)</t>
  </si>
  <si>
    <t>Double to 200 → MANDATORY EXIT</t>
  </si>
  <si>
    <t>$18.50 (resistance)</t>
  </si>
  <si>
    <t>Double to 36 contracts (15% risk)</t>
  </si>
  <si>
    <t>$21.00 (round level)</t>
  </si>
  <si>
    <t>Double to 72 → MANDATORY EXIT</t>
  </si>
  <si>
    <t>PUT</t>
  </si>
  <si>
    <t>$18.24 (20d low)</t>
  </si>
  <si>
    <t>$16.26 (52w low)</t>
  </si>
  <si>
    <t>$26.73 (20d low)</t>
  </si>
  <si>
    <t>Double to 84 contracts (15% risk)</t>
  </si>
  <si>
    <t>$22.95 (52w low)</t>
  </si>
  <si>
    <t>Double to 168 → MANDATORY EXIT</t>
  </si>
  <si>
    <t>$27.58 (20d low)</t>
  </si>
  <si>
    <t>Double to 90 contracts (15% risk)</t>
  </si>
  <si>
    <t>$24.82 (est. support)</t>
  </si>
  <si>
    <t>Double to 180 → MANDATORY EXIT</t>
  </si>
  <si>
    <t>$32.44 (20d low)</t>
  </si>
  <si>
    <t>Double to 58 contracts (15% risk)</t>
  </si>
  <si>
    <t>$26.70 (52w low)</t>
  </si>
  <si>
    <t>Double to 116 → MANDATORY EXIT</t>
  </si>
  <si>
    <t>EXPECTED DAILY THETA CONTRIBUTION</t>
  </si>
  <si>
    <t>Total Credit Collected</t>
  </si>
  <si>
    <t>Est. Days to Expiry</t>
  </si>
  <si>
    <t>Est. Daily Theta</t>
  </si>
  <si>
    <t>Daily Theta as % of $1M Account</t>
  </si>
  <si>
    <t>Note: Current-week expirations (LCID, RUN) have accelerated theta decay at 3 DTE. Next-week expirations (W, SOC, ET, T, CMCSA, KMI) contribute slower but steadier daily theta. Combined basket targets ~0.07-0.10% daily theta, supplemented by premium collected on new entries each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</si>
</sst>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
  </numFmts>
  <fonts count="13" x14ac:knownFonts="1">
    <font>
      <sz val="11"/>
      <color theme="1"/>
      <name val="Calibri"/>
      <family val="2"/>
      <charset val="1"/>
    </font>
    <font>
      <b/>
      <sz val="12"/>
      <color rgb="FFCC0000"/>
      <name val="Arial"/>
      <family val="2"/>
    </font>
    <font>
      <sz val="12"/>
      <color rgb="FFCC0000"/>
      <name val="Arial"/>
      <family val="2"/>
      <charset val="1"/>
    </font>
    <font>
      <b/>
      <sz val="14"/>
      <color rgb="FF1F4E79"/>
      <name val="Arial"/>
      <family val="2"/>
    </font>
    <font>
      <b/>
      <sz val="11"/>
      <color rgb="FFFFFFFF"/>
      <name val="Arial"/>
      <family val="2"/>
    </font>
    <font>
      <b/>
      <sz val="10"/>
      <name val="Arial"/>
      <family val="2"/>
    </font>
    <font>
      <sz val="10"/>
      <name val="Arial"/>
      <family val="2"/>
    </font>
    <font>
      <b/>
      <sz val="11"/>
      <color rgb="FF006100"/>
      <name val="Arial"/>
      <family val="2"/>
    </font>
    <font>
      <b/>
      <sz val="11"/>
      <name val="Arial"/>
      <family val="2"/>
    </font>
    <font>
      <b/>
      <sz val="12"/>
      <color rgb="FF1F4E79"/>
      <name val="Arial"/>
      <family val="2"/>
    </font>
    <font>
      <b/>
      <sz val="12"/>
      <color rgb="FF1F4E79"/>
      <name val="Arial"/>
      <family val="2"/>
      <charset val="1"/>
    </font>
    <font>
      <i/>
      <sz val="10"/>
      <name val="Arial"/>
      <family val="2"/>
    </font>
    <font>
      <i/>
      <sz val="9"/>
      <name val="Arial"/>
      <family val="2"/>
    </font>
  </fonts>
  <fills count="5">
    <fill>
      <patternFill patternType="none"/>
    </fill>
    <fill>
      <patternFill patternType="gray125"/>
    </fill>
    <fill>
      <patternFill patternType="solid">
        <fgColor rgb="FF1F4E79"/>
        <bgColor rgb="FF003366"/>
      </patternFill>
    </fill>
    <fill>
      <patternFill patternType="solid">
        <fgColor rgb="FFFCE4EC"/>
        <bgColor rgb="FFE8F5E9"/>
      </patternFill>
    </fill>
    <fill>
      <patternFill patternType="solid">
        <fgColor rgb="FFE8F5E9"/>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1">
    <xf numFmtId="0" fontId="0" fillId="0" borderId="0" xfId="0"/>
    <xf numFmtId="0" fontId="4" fillId="2" borderId="1" xfId="0" applyFont="1" applyFill="1" applyBorder="1" applyAlignment="1">
      <alignment horizontal="center" wrapText="1"/>
    </xf>
    <xf numFmtId="0" fontId="5" fillId="0" borderId="1" xfId="0" applyFont="1" applyBorder="1"/>
    <xf numFmtId="0" fontId="6" fillId="0" borderId="1" xfId="0" applyFont="1" applyBorder="1"/>
    <xf numFmtId="0" fontId="6" fillId="3" borderId="1" xfId="0" applyFont="1" applyFill="1" applyBorder="1" applyAlignment="1">
      <alignment horizontal="center"/>
    </xf>
    <xf numFmtId="164" fontId="6" fillId="3" borderId="1" xfId="0" applyNumberFormat="1" applyFont="1" applyFill="1" applyBorder="1" applyAlignment="1">
      <alignment horizontal="center"/>
    </xf>
    <xf numFmtId="165" fontId="6" fillId="3" borderId="1" xfId="0" applyNumberFormat="1" applyFont="1" applyFill="1" applyBorder="1" applyAlignment="1">
      <alignment horizontal="center"/>
    </xf>
    <xf numFmtId="0" fontId="6" fillId="4" borderId="1" xfId="0" applyFont="1" applyFill="1" applyBorder="1" applyAlignment="1">
      <alignment horizontal="center"/>
    </xf>
    <xf numFmtId="164" fontId="6" fillId="4" borderId="1" xfId="0" applyNumberFormat="1" applyFont="1" applyFill="1" applyBorder="1" applyAlignment="1">
      <alignment horizontal="center"/>
    </xf>
    <xf numFmtId="165" fontId="6" fillId="4" borderId="1" xfId="0" applyNumberFormat="1" applyFont="1" applyFill="1" applyBorder="1" applyAlignment="1">
      <alignment horizontal="center"/>
    </xf>
    <xf numFmtId="0" fontId="8" fillId="0" borderId="1" xfId="0" applyFont="1" applyBorder="1"/>
    <xf numFmtId="0" fontId="0" fillId="0" borderId="1" xfId="0" applyBorder="1"/>
    <xf numFmtId="165" fontId="5" fillId="0" borderId="1" xfId="0" applyNumberFormat="1" applyFont="1" applyBorder="1"/>
    <xf numFmtId="0" fontId="4" fillId="2" borderId="1" xfId="0" applyFont="1" applyFill="1" applyBorder="1" applyAlignment="1">
      <alignment horizontal="center"/>
    </xf>
    <xf numFmtId="0" fontId="6" fillId="3" borderId="1" xfId="0" applyFont="1" applyFill="1" applyBorder="1"/>
    <xf numFmtId="0" fontId="6" fillId="4" borderId="1" xfId="0" applyFont="1" applyFill="1" applyBorder="1"/>
    <xf numFmtId="0" fontId="8" fillId="0" borderId="0" xfId="0" applyFont="1"/>
    <xf numFmtId="0" fontId="6" fillId="0" borderId="0" xfId="0" applyFont="1"/>
    <xf numFmtId="165" fontId="6" fillId="0" borderId="1" xfId="0" applyNumberFormat="1" applyFont="1" applyBorder="1"/>
    <xf numFmtId="165" fontId="8" fillId="0" borderId="1" xfId="0" applyNumberFormat="1" applyFont="1" applyBorder="1"/>
    <xf numFmtId="10" fontId="7" fillId="0" borderId="0" xfId="0" applyNumberFormat="1" applyFont="1"/>
    <xf numFmtId="0" fontId="9" fillId="0" borderId="0" xfId="0" applyFont="1"/>
    <xf numFmtId="0" fontId="6" fillId="0" borderId="1" xfId="0" applyFont="1" applyBorder="1" applyAlignment="1">
      <alignment horizontal="left"/>
    </xf>
    <xf numFmtId="0" fontId="4" fillId="2" borderId="2" xfId="0" applyFont="1" applyFill="1" applyBorder="1" applyAlignment="1">
      <alignment horizontal="left"/>
    </xf>
    <xf numFmtId="0" fontId="1" fillId="0" borderId="0" xfId="0" applyFont="1"/>
    <xf numFmtId="0" fontId="2" fillId="0" borderId="0" xfId="0" applyFont="1" applyAlignment="1">
      <alignment vertical="top" wrapText="1"/>
    </xf>
    <xf numFmtId="0" fontId="3" fillId="0" borderId="0" xfId="0" applyFont="1"/>
    <xf numFmtId="0" fontId="7" fillId="0" borderId="0" xfId="0" applyFont="1"/>
    <xf numFmtId="0" fontId="10" fillId="0" borderId="0" xfId="0" applyFont="1"/>
    <xf numFmtId="0" fontId="11" fillId="0" borderId="0" xfId="0" applyFont="1"/>
    <xf numFmtId="0" fontId="12"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E8F5E9"/>
      <rgbColor rgb="FFCCFFFF"/>
      <rgbColor rgb="FF660066"/>
      <rgbColor rgb="FFFF8080"/>
      <rgbColor rgb="FF0066CC"/>
      <rgbColor rgb="FFFCE4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
  <sheetViews>
    <sheetView tabSelected="1" zoomScaleNormal="100" workbookViewId="0">
      <selection activeCell="G9" sqref="G9"/>
    </sheetView>
  </sheetViews>
  <sheetFormatPr baseColWidth="10" defaultColWidth="8.6640625" defaultRowHeight="15" x14ac:dyDescent="0.2"/>
  <cols>
    <col min="1" max="1" width="31" customWidth="1"/>
    <col min="2" max="2" width="14" customWidth="1"/>
    <col min="3" max="4" width="10" customWidth="1"/>
    <col min="5" max="5" width="14" customWidth="1"/>
    <col min="6" max="6" width="10" customWidth="1"/>
    <col min="7" max="7" width="14" customWidth="1"/>
    <col min="8" max="8" width="12" customWidth="1"/>
    <col min="9" max="9" width="14" customWidth="1"/>
    <col min="10" max="11" width="12" customWidth="1"/>
  </cols>
  <sheetData>
    <row r="1" spans="1:11" ht="15.75" customHeight="1" x14ac:dyDescent="0.2">
      <c r="A1" s="24" t="s">
        <v>0</v>
      </c>
      <c r="B1" s="24"/>
      <c r="C1" s="24"/>
      <c r="D1" s="24"/>
      <c r="E1" s="24"/>
      <c r="F1" s="24"/>
      <c r="G1" s="24"/>
      <c r="H1" s="24"/>
      <c r="I1" s="24"/>
      <c r="J1" s="24"/>
      <c r="K1" s="24"/>
    </row>
    <row r="2" spans="1:11" ht="63.75" customHeight="1" x14ac:dyDescent="0.2">
      <c r="A2" s="25" t="s">
        <v>1</v>
      </c>
      <c r="B2" s="25"/>
      <c r="C2" s="25"/>
      <c r="D2" s="25"/>
      <c r="E2" s="25"/>
      <c r="F2" s="25"/>
      <c r="G2" s="25"/>
      <c r="H2" s="25"/>
      <c r="I2" s="25"/>
      <c r="J2" s="25"/>
      <c r="K2" s="25"/>
    </row>
    <row r="3" spans="1:11" ht="15" customHeight="1" x14ac:dyDescent="0.2">
      <c r="A3" s="25"/>
      <c r="B3" s="25"/>
      <c r="C3" s="25"/>
      <c r="D3" s="25"/>
      <c r="E3" s="25"/>
      <c r="F3" s="25"/>
      <c r="G3" s="25"/>
      <c r="H3" s="25"/>
      <c r="I3" s="25"/>
      <c r="J3" s="25"/>
      <c r="K3" s="25"/>
    </row>
    <row r="4" spans="1:11" ht="9" customHeight="1" x14ac:dyDescent="0.2">
      <c r="A4" s="25"/>
      <c r="B4" s="25"/>
      <c r="C4" s="25"/>
      <c r="D4" s="25"/>
      <c r="E4" s="25"/>
      <c r="F4" s="25"/>
      <c r="G4" s="25"/>
      <c r="H4" s="25"/>
      <c r="I4" s="25"/>
      <c r="J4" s="25"/>
      <c r="K4" s="25"/>
    </row>
    <row r="5" spans="1:11" ht="15" hidden="1" customHeight="1" x14ac:dyDescent="0.2">
      <c r="A5" s="25"/>
      <c r="B5" s="25"/>
      <c r="C5" s="25"/>
      <c r="D5" s="25"/>
      <c r="E5" s="25"/>
      <c r="F5" s="25"/>
      <c r="G5" s="25"/>
      <c r="H5" s="25"/>
      <c r="I5" s="25"/>
      <c r="J5" s="25"/>
      <c r="K5" s="25"/>
    </row>
    <row r="7" spans="1:11" ht="18" customHeight="1" x14ac:dyDescent="0.2">
      <c r="A7" s="26" t="s">
        <v>2</v>
      </c>
      <c r="B7" s="26"/>
      <c r="C7" s="26"/>
      <c r="D7" s="26"/>
      <c r="E7" s="26"/>
      <c r="F7" s="26"/>
    </row>
    <row r="8" spans="1:11" ht="30.75" customHeight="1" x14ac:dyDescent="0.2">
      <c r="A8" s="1" t="s">
        <v>3</v>
      </c>
      <c r="B8" s="1" t="s">
        <v>4</v>
      </c>
      <c r="C8" s="1" t="s">
        <v>5</v>
      </c>
    </row>
    <row r="9" spans="1:11" ht="15" customHeight="1" x14ac:dyDescent="0.2">
      <c r="A9" s="2" t="s">
        <v>6</v>
      </c>
      <c r="B9" s="2" t="s">
        <v>7</v>
      </c>
      <c r="C9" s="3" t="s">
        <v>8</v>
      </c>
    </row>
    <row r="10" spans="1:11" ht="15" customHeight="1" x14ac:dyDescent="0.2">
      <c r="A10" s="2" t="s">
        <v>9</v>
      </c>
      <c r="B10" s="2" t="s">
        <v>10</v>
      </c>
      <c r="C10" s="3" t="s">
        <v>11</v>
      </c>
    </row>
    <row r="11" spans="1:11" ht="15" customHeight="1" x14ac:dyDescent="0.2">
      <c r="A11" s="2" t="s">
        <v>12</v>
      </c>
      <c r="B11" s="2" t="s">
        <v>13</v>
      </c>
      <c r="C11" s="3" t="s">
        <v>14</v>
      </c>
    </row>
    <row r="12" spans="1:11" ht="15" customHeight="1" x14ac:dyDescent="0.2">
      <c r="A12" s="2" t="s">
        <v>15</v>
      </c>
      <c r="B12" s="2" t="s">
        <v>16</v>
      </c>
      <c r="C12" s="3" t="s">
        <v>17</v>
      </c>
    </row>
    <row r="13" spans="1:11" ht="15" customHeight="1" x14ac:dyDescent="0.2">
      <c r="A13" s="2" t="s">
        <v>18</v>
      </c>
      <c r="B13" s="2" t="s">
        <v>19</v>
      </c>
      <c r="C13" s="3" t="s">
        <v>20</v>
      </c>
    </row>
    <row r="14" spans="1:11" ht="15" customHeight="1" x14ac:dyDescent="0.2">
      <c r="A14" s="2" t="s">
        <v>21</v>
      </c>
      <c r="B14" s="2" t="s">
        <v>22</v>
      </c>
      <c r="C14" s="3" t="s">
        <v>23</v>
      </c>
    </row>
    <row r="15" spans="1:11" ht="15" customHeight="1" x14ac:dyDescent="0.2">
      <c r="A15" s="2" t="s">
        <v>24</v>
      </c>
      <c r="B15" s="2" t="s">
        <v>25</v>
      </c>
      <c r="C15" s="3" t="s">
        <v>26</v>
      </c>
    </row>
    <row r="16" spans="1:11" ht="15" customHeight="1" x14ac:dyDescent="0.2">
      <c r="A16" s="2" t="s">
        <v>27</v>
      </c>
      <c r="B16" s="2" t="s">
        <v>25</v>
      </c>
      <c r="C16" s="3" t="s">
        <v>28</v>
      </c>
    </row>
    <row r="17" spans="1:11" ht="15" customHeight="1" x14ac:dyDescent="0.2">
      <c r="A17" s="2" t="s">
        <v>29</v>
      </c>
      <c r="B17" s="2" t="s">
        <v>30</v>
      </c>
      <c r="C17" s="3" t="s">
        <v>31</v>
      </c>
    </row>
    <row r="19" spans="1:11" ht="15" customHeight="1" x14ac:dyDescent="0.2">
      <c r="A19" s="27" t="s">
        <v>32</v>
      </c>
      <c r="B19" s="27"/>
      <c r="C19" s="27"/>
      <c r="D19" s="27"/>
      <c r="E19" s="27"/>
      <c r="F19" s="27"/>
      <c r="G19" s="27"/>
      <c r="H19" s="27"/>
      <c r="I19" s="27"/>
      <c r="J19" s="27"/>
    </row>
    <row r="21" spans="1:11" ht="18" customHeight="1" x14ac:dyDescent="0.2">
      <c r="A21" s="26" t="s">
        <v>33</v>
      </c>
      <c r="B21" s="26"/>
      <c r="C21" s="26"/>
      <c r="D21" s="26"/>
      <c r="E21" s="26"/>
      <c r="F21" s="26"/>
      <c r="G21" s="26"/>
      <c r="H21" s="26"/>
      <c r="I21" s="26"/>
      <c r="J21" s="26"/>
      <c r="K21" s="26"/>
    </row>
    <row r="22" spans="1:11" ht="15.75" customHeight="1" x14ac:dyDescent="0.2">
      <c r="A22" s="1" t="s">
        <v>34</v>
      </c>
      <c r="B22" s="1" t="s">
        <v>35</v>
      </c>
      <c r="C22" s="1" t="s">
        <v>36</v>
      </c>
      <c r="D22" s="1" t="s">
        <v>37</v>
      </c>
      <c r="E22" s="1" t="s">
        <v>38</v>
      </c>
      <c r="F22" s="1" t="s">
        <v>39</v>
      </c>
      <c r="G22" s="1" t="s">
        <v>40</v>
      </c>
      <c r="H22" s="1" t="s">
        <v>41</v>
      </c>
      <c r="I22" s="1" t="s">
        <v>42</v>
      </c>
      <c r="J22" s="1" t="s">
        <v>43</v>
      </c>
      <c r="K22" s="1" t="s">
        <v>44</v>
      </c>
    </row>
    <row r="23" spans="1:11" ht="15" customHeight="1" x14ac:dyDescent="0.2">
      <c r="A23" s="4" t="s">
        <v>45</v>
      </c>
      <c r="B23" s="4" t="s">
        <v>46</v>
      </c>
      <c r="C23" s="4">
        <v>76.33</v>
      </c>
      <c r="D23" s="4">
        <v>90</v>
      </c>
      <c r="E23" s="4" t="s">
        <v>47</v>
      </c>
      <c r="F23" s="4">
        <v>0.15</v>
      </c>
      <c r="G23" s="5">
        <v>0.5</v>
      </c>
      <c r="H23" s="4">
        <v>20</v>
      </c>
      <c r="I23" s="6">
        <v>50000</v>
      </c>
      <c r="J23" s="4">
        <v>85</v>
      </c>
      <c r="K23" s="4">
        <v>119.98</v>
      </c>
    </row>
    <row r="24" spans="1:11" ht="15" customHeight="1" x14ac:dyDescent="0.2">
      <c r="A24" s="4" t="s">
        <v>48</v>
      </c>
      <c r="B24" s="4" t="s">
        <v>46</v>
      </c>
      <c r="C24" s="4">
        <v>9.9600000000000009</v>
      </c>
      <c r="D24" s="4">
        <v>11</v>
      </c>
      <c r="E24" s="4" t="s">
        <v>49</v>
      </c>
      <c r="F24" s="4">
        <v>0.18</v>
      </c>
      <c r="G24" s="5">
        <v>7.0000000000000007E-2</v>
      </c>
      <c r="H24" s="4">
        <v>71</v>
      </c>
      <c r="I24" s="6">
        <v>50000</v>
      </c>
      <c r="J24" s="4">
        <v>11.08</v>
      </c>
      <c r="K24" s="4">
        <v>12.15</v>
      </c>
    </row>
    <row r="25" spans="1:11" ht="15" customHeight="1" x14ac:dyDescent="0.2">
      <c r="A25" s="4" t="s">
        <v>50</v>
      </c>
      <c r="B25" s="4" t="s">
        <v>46</v>
      </c>
      <c r="C25" s="4">
        <v>13</v>
      </c>
      <c r="D25" s="4">
        <v>15</v>
      </c>
      <c r="E25" s="4" t="s">
        <v>49</v>
      </c>
      <c r="F25" s="4">
        <v>0.16</v>
      </c>
      <c r="G25" s="5">
        <v>0.1</v>
      </c>
      <c r="H25" s="4">
        <v>50</v>
      </c>
      <c r="I25" s="6">
        <v>50000</v>
      </c>
      <c r="J25" s="4">
        <v>14.25</v>
      </c>
      <c r="K25" s="4">
        <v>22.44</v>
      </c>
    </row>
    <row r="26" spans="1:11" ht="15" customHeight="1" x14ac:dyDescent="0.2">
      <c r="A26" s="4" t="s">
        <v>51</v>
      </c>
      <c r="B26" s="4" t="s">
        <v>46</v>
      </c>
      <c r="C26" s="4">
        <v>15.37</v>
      </c>
      <c r="D26" s="4">
        <v>19</v>
      </c>
      <c r="E26" s="4" t="s">
        <v>47</v>
      </c>
      <c r="F26" s="4">
        <v>0.19</v>
      </c>
      <c r="G26" s="5">
        <v>0.28000000000000003</v>
      </c>
      <c r="H26" s="4">
        <v>18</v>
      </c>
      <c r="I26" s="6">
        <v>50000</v>
      </c>
      <c r="J26" s="4">
        <v>18.5</v>
      </c>
      <c r="K26" s="4">
        <v>21</v>
      </c>
    </row>
    <row r="27" spans="1:11" ht="15" customHeight="1" x14ac:dyDescent="0.2">
      <c r="A27" s="7" t="s">
        <v>52</v>
      </c>
      <c r="B27" s="7" t="s">
        <v>53</v>
      </c>
      <c r="C27" s="7">
        <v>18.93</v>
      </c>
      <c r="D27" s="7">
        <v>18</v>
      </c>
      <c r="E27" s="7" t="s">
        <v>47</v>
      </c>
      <c r="F27" s="7">
        <v>-0.16</v>
      </c>
      <c r="G27" s="8">
        <v>7.0000000000000007E-2</v>
      </c>
      <c r="H27" s="7">
        <v>71</v>
      </c>
      <c r="I27" s="9">
        <v>50000</v>
      </c>
      <c r="J27" s="7">
        <v>18.239999999999998</v>
      </c>
      <c r="K27" s="7">
        <v>16.260000000000002</v>
      </c>
    </row>
    <row r="28" spans="1:11" ht="15" customHeight="1" x14ac:dyDescent="0.2">
      <c r="A28" s="7" t="s">
        <v>54</v>
      </c>
      <c r="B28" s="7" t="s">
        <v>53</v>
      </c>
      <c r="C28" s="7">
        <v>28.33</v>
      </c>
      <c r="D28" s="7">
        <v>26.5</v>
      </c>
      <c r="E28" s="7" t="s">
        <v>47</v>
      </c>
      <c r="F28" s="7">
        <v>-0.15</v>
      </c>
      <c r="G28" s="8">
        <v>0.12</v>
      </c>
      <c r="H28" s="7">
        <v>42</v>
      </c>
      <c r="I28" s="9">
        <v>50000</v>
      </c>
      <c r="J28" s="7">
        <v>26.73</v>
      </c>
      <c r="K28" s="7">
        <v>22.95</v>
      </c>
    </row>
    <row r="29" spans="1:11" ht="15" customHeight="1" x14ac:dyDescent="0.2">
      <c r="A29" s="7" t="s">
        <v>55</v>
      </c>
      <c r="B29" s="7" t="s">
        <v>53</v>
      </c>
      <c r="C29" s="7">
        <v>27.93</v>
      </c>
      <c r="D29" s="7">
        <v>26</v>
      </c>
      <c r="E29" s="7" t="s">
        <v>47</v>
      </c>
      <c r="F29" s="7">
        <v>-0.16</v>
      </c>
      <c r="G29" s="8">
        <v>0.11</v>
      </c>
      <c r="H29" s="7">
        <v>45</v>
      </c>
      <c r="I29" s="9">
        <v>50000</v>
      </c>
      <c r="J29" s="7">
        <v>27.58</v>
      </c>
      <c r="K29" s="7">
        <v>24.82</v>
      </c>
    </row>
    <row r="30" spans="1:11" ht="15" customHeight="1" x14ac:dyDescent="0.2">
      <c r="A30" s="7" t="s">
        <v>56</v>
      </c>
      <c r="B30" s="7" t="s">
        <v>53</v>
      </c>
      <c r="C30" s="7">
        <v>32.97</v>
      </c>
      <c r="D30" s="7">
        <v>31</v>
      </c>
      <c r="E30" s="7" t="s">
        <v>47</v>
      </c>
      <c r="F30" s="7">
        <v>-0.17</v>
      </c>
      <c r="G30" s="8">
        <v>0.17</v>
      </c>
      <c r="H30" s="7">
        <v>29</v>
      </c>
      <c r="I30" s="9">
        <v>50000</v>
      </c>
      <c r="J30" s="7">
        <v>32.44</v>
      </c>
      <c r="K30" s="7">
        <v>26.7</v>
      </c>
    </row>
    <row r="31" spans="1:11" ht="15" customHeight="1" x14ac:dyDescent="0.2">
      <c r="A31" s="10" t="s">
        <v>57</v>
      </c>
      <c r="B31" s="11"/>
      <c r="C31" s="11"/>
      <c r="D31" s="11"/>
      <c r="E31" s="11"/>
      <c r="F31" s="11"/>
      <c r="G31" s="11"/>
      <c r="H31" s="2">
        <f>SUM(H23:H30)</f>
        <v>346</v>
      </c>
      <c r="I31" s="12">
        <f>SUM(I23:I30)</f>
        <v>400000</v>
      </c>
      <c r="J31" s="11"/>
      <c r="K31" s="11"/>
    </row>
    <row r="33" spans="1:7" ht="15.75" customHeight="1" x14ac:dyDescent="0.2">
      <c r="A33" s="21" t="s">
        <v>58</v>
      </c>
      <c r="B33" s="21"/>
      <c r="C33" s="21"/>
      <c r="D33" s="21"/>
    </row>
    <row r="34" spans="1:7" ht="15" customHeight="1" x14ac:dyDescent="0.2">
      <c r="A34" s="13" t="s">
        <v>59</v>
      </c>
      <c r="B34" s="13" t="s">
        <v>60</v>
      </c>
      <c r="C34" s="23" t="s">
        <v>61</v>
      </c>
      <c r="D34" s="23"/>
      <c r="E34" s="23"/>
      <c r="F34" s="23"/>
      <c r="G34" s="23"/>
    </row>
    <row r="35" spans="1:7" ht="15" customHeight="1" x14ac:dyDescent="0.2">
      <c r="A35" s="3" t="s">
        <v>62</v>
      </c>
      <c r="B35" s="2" t="s">
        <v>63</v>
      </c>
      <c r="C35" s="22" t="s">
        <v>64</v>
      </c>
      <c r="D35" s="22"/>
      <c r="E35" s="22"/>
      <c r="F35" s="22"/>
      <c r="G35" s="22"/>
    </row>
    <row r="36" spans="1:7" ht="15" customHeight="1" x14ac:dyDescent="0.2">
      <c r="A36" s="3" t="s">
        <v>65</v>
      </c>
      <c r="B36" s="2" t="s">
        <v>66</v>
      </c>
      <c r="C36" s="22" t="s">
        <v>67</v>
      </c>
      <c r="D36" s="22"/>
      <c r="E36" s="22"/>
      <c r="F36" s="22"/>
      <c r="G36" s="22"/>
    </row>
    <row r="37" spans="1:7" ht="15" customHeight="1" x14ac:dyDescent="0.2">
      <c r="A37" s="3" t="s">
        <v>68</v>
      </c>
      <c r="B37" s="2" t="s">
        <v>69</v>
      </c>
      <c r="C37" s="22" t="s">
        <v>70</v>
      </c>
      <c r="D37" s="22"/>
      <c r="E37" s="22"/>
      <c r="F37" s="22"/>
      <c r="G37" s="22"/>
    </row>
    <row r="38" spans="1:7" ht="15" customHeight="1" x14ac:dyDescent="0.2">
      <c r="A38" s="3" t="s">
        <v>71</v>
      </c>
      <c r="B38" s="2" t="s">
        <v>30</v>
      </c>
      <c r="C38" s="22" t="s">
        <v>72</v>
      </c>
      <c r="D38" s="22"/>
      <c r="E38" s="22"/>
      <c r="F38" s="22"/>
      <c r="G38" s="22"/>
    </row>
  </sheetData>
  <mergeCells count="11">
    <mergeCell ref="A1:K1"/>
    <mergeCell ref="A2:K5"/>
    <mergeCell ref="A7:F7"/>
    <mergeCell ref="A19:J19"/>
    <mergeCell ref="A21:K21"/>
    <mergeCell ref="C38:G38"/>
    <mergeCell ref="A33:D33"/>
    <mergeCell ref="C34:G34"/>
    <mergeCell ref="C35:G35"/>
    <mergeCell ref="C36:G36"/>
    <mergeCell ref="C37:G3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zoomScaleNormal="100" workbookViewId="0">
      <selection activeCell="F22" sqref="F22"/>
    </sheetView>
  </sheetViews>
  <sheetFormatPr baseColWidth="10" defaultColWidth="8.6640625" defaultRowHeight="15" x14ac:dyDescent="0.2"/>
  <cols>
    <col min="1" max="5" width="22" customWidth="1"/>
    <col min="6" max="6" width="64.83203125" customWidth="1"/>
    <col min="7" max="7" width="21.33203125" customWidth="1"/>
    <col min="8" max="8" width="22" customWidth="1"/>
  </cols>
  <sheetData>
    <row r="1" spans="1:8" ht="15.75" customHeight="1" x14ac:dyDescent="0.2">
      <c r="A1" s="21" t="s">
        <v>73</v>
      </c>
      <c r="B1" s="21"/>
      <c r="C1" s="21"/>
      <c r="D1" s="21"/>
      <c r="E1" s="21"/>
      <c r="F1" s="21"/>
      <c r="G1" s="21"/>
      <c r="H1" s="21"/>
    </row>
    <row r="2" spans="1:8" ht="15.75" customHeight="1" x14ac:dyDescent="0.2">
      <c r="A2" s="1" t="s">
        <v>34</v>
      </c>
      <c r="B2" s="1" t="s">
        <v>74</v>
      </c>
      <c r="C2" s="1" t="s">
        <v>75</v>
      </c>
      <c r="D2" s="1" t="s">
        <v>76</v>
      </c>
      <c r="E2" s="1" t="s">
        <v>77</v>
      </c>
      <c r="F2" s="1" t="s">
        <v>78</v>
      </c>
      <c r="G2" s="1" t="s">
        <v>79</v>
      </c>
      <c r="H2" s="1" t="s">
        <v>80</v>
      </c>
    </row>
    <row r="3" spans="1:8" ht="15" customHeight="1" x14ac:dyDescent="0.2">
      <c r="A3" s="14" t="s">
        <v>45</v>
      </c>
      <c r="B3" s="14" t="s">
        <v>81</v>
      </c>
      <c r="C3" s="14" t="s">
        <v>82</v>
      </c>
      <c r="D3" s="14" t="s">
        <v>83</v>
      </c>
      <c r="E3" s="14" t="s">
        <v>84</v>
      </c>
      <c r="F3" s="14" t="s">
        <v>85</v>
      </c>
      <c r="G3" s="14" t="s">
        <v>86</v>
      </c>
      <c r="H3" s="14">
        <v>100</v>
      </c>
    </row>
    <row r="4" spans="1:8" ht="15" customHeight="1" x14ac:dyDescent="0.2">
      <c r="A4" s="14" t="s">
        <v>48</v>
      </c>
      <c r="B4" s="14" t="s">
        <v>87</v>
      </c>
      <c r="C4" s="14" t="s">
        <v>88</v>
      </c>
      <c r="D4" s="14" t="s">
        <v>83</v>
      </c>
      <c r="E4" s="14" t="s">
        <v>84</v>
      </c>
      <c r="F4" s="14" t="s">
        <v>89</v>
      </c>
      <c r="G4" s="14" t="s">
        <v>86</v>
      </c>
      <c r="H4" s="14">
        <v>100</v>
      </c>
    </row>
    <row r="5" spans="1:8" ht="15" customHeight="1" x14ac:dyDescent="0.2">
      <c r="A5" s="14" t="s">
        <v>50</v>
      </c>
      <c r="B5" s="14" t="s">
        <v>90</v>
      </c>
      <c r="C5" s="14" t="s">
        <v>91</v>
      </c>
      <c r="D5" s="14" t="s">
        <v>83</v>
      </c>
      <c r="E5" s="14" t="s">
        <v>84</v>
      </c>
      <c r="F5" s="14" t="s">
        <v>92</v>
      </c>
      <c r="G5" s="14" t="s">
        <v>86</v>
      </c>
      <c r="H5" s="14">
        <v>100</v>
      </c>
    </row>
    <row r="6" spans="1:8" ht="15" customHeight="1" x14ac:dyDescent="0.2">
      <c r="A6" s="14" t="s">
        <v>51</v>
      </c>
      <c r="B6" s="14" t="s">
        <v>93</v>
      </c>
      <c r="C6" s="14" t="s">
        <v>94</v>
      </c>
      <c r="D6" s="14" t="s">
        <v>83</v>
      </c>
      <c r="E6" s="14" t="s">
        <v>84</v>
      </c>
      <c r="F6" s="14" t="s">
        <v>95</v>
      </c>
      <c r="G6" s="14" t="s">
        <v>86</v>
      </c>
      <c r="H6" s="14">
        <v>100</v>
      </c>
    </row>
    <row r="8" spans="1:8" ht="15.75" customHeight="1" x14ac:dyDescent="0.2">
      <c r="A8" s="21" t="s">
        <v>96</v>
      </c>
      <c r="B8" s="21"/>
      <c r="C8" s="21"/>
      <c r="D8" s="21"/>
      <c r="E8" s="21"/>
      <c r="F8" s="21"/>
      <c r="G8" s="21"/>
      <c r="H8" s="21"/>
    </row>
    <row r="9" spans="1:8" ht="15.75" customHeight="1" x14ac:dyDescent="0.2">
      <c r="A9" s="1" t="s">
        <v>34</v>
      </c>
      <c r="B9" s="1" t="s">
        <v>74</v>
      </c>
      <c r="C9" s="1" t="s">
        <v>75</v>
      </c>
      <c r="D9" s="1" t="s">
        <v>76</v>
      </c>
      <c r="E9" s="1" t="s">
        <v>97</v>
      </c>
      <c r="F9" s="1" t="s">
        <v>98</v>
      </c>
      <c r="G9" s="1" t="s">
        <v>79</v>
      </c>
      <c r="H9" s="1" t="s">
        <v>80</v>
      </c>
    </row>
    <row r="10" spans="1:8" ht="15" customHeight="1" x14ac:dyDescent="0.2">
      <c r="A10" s="15" t="s">
        <v>52</v>
      </c>
      <c r="B10" s="15" t="s">
        <v>99</v>
      </c>
      <c r="C10" s="15" t="s">
        <v>100</v>
      </c>
      <c r="D10" s="15" t="s">
        <v>101</v>
      </c>
      <c r="E10" s="15" t="s">
        <v>84</v>
      </c>
      <c r="F10" s="15" t="s">
        <v>102</v>
      </c>
      <c r="G10" s="15" t="s">
        <v>86</v>
      </c>
      <c r="H10" s="15">
        <v>100</v>
      </c>
    </row>
    <row r="11" spans="1:8" ht="15" customHeight="1" x14ac:dyDescent="0.2">
      <c r="A11" s="15" t="s">
        <v>54</v>
      </c>
      <c r="B11" s="15" t="s">
        <v>103</v>
      </c>
      <c r="C11" s="15" t="s">
        <v>104</v>
      </c>
      <c r="D11" s="15" t="s">
        <v>101</v>
      </c>
      <c r="E11" s="15" t="s">
        <v>84</v>
      </c>
      <c r="F11" s="15" t="s">
        <v>105</v>
      </c>
      <c r="G11" s="15" t="s">
        <v>86</v>
      </c>
      <c r="H11" s="15">
        <v>100</v>
      </c>
    </row>
    <row r="12" spans="1:8" ht="15" customHeight="1" x14ac:dyDescent="0.2">
      <c r="A12" s="15" t="s">
        <v>55</v>
      </c>
      <c r="B12" s="15" t="s">
        <v>106</v>
      </c>
      <c r="C12" s="15" t="s">
        <v>107</v>
      </c>
      <c r="D12" s="15" t="s">
        <v>101</v>
      </c>
      <c r="E12" s="15" t="s">
        <v>84</v>
      </c>
      <c r="F12" s="15" t="s">
        <v>108</v>
      </c>
      <c r="G12" s="15" t="s">
        <v>86</v>
      </c>
      <c r="H12" s="15">
        <v>100</v>
      </c>
    </row>
    <row r="13" spans="1:8" ht="15" customHeight="1" x14ac:dyDescent="0.2">
      <c r="A13" s="15" t="s">
        <v>56</v>
      </c>
      <c r="B13" s="15" t="s">
        <v>109</v>
      </c>
      <c r="C13" s="15" t="s">
        <v>104</v>
      </c>
      <c r="D13" s="15" t="s">
        <v>101</v>
      </c>
      <c r="E13" s="15" t="s">
        <v>84</v>
      </c>
      <c r="F13" s="15" t="s">
        <v>110</v>
      </c>
      <c r="G13" s="15" t="s">
        <v>86</v>
      </c>
      <c r="H13" s="15">
        <v>100</v>
      </c>
    </row>
  </sheetData>
  <mergeCells count="2">
    <mergeCell ref="A1:H1"/>
    <mergeCell ref="A8:H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zoomScaleNormal="100" workbookViewId="0">
      <selection activeCell="C36" sqref="C36"/>
    </sheetView>
  </sheetViews>
  <sheetFormatPr baseColWidth="10" defaultColWidth="8.6640625" defaultRowHeight="15" x14ac:dyDescent="0.2"/>
  <cols>
    <col min="1" max="1" width="30" customWidth="1"/>
    <col min="2" max="2" width="45.33203125" customWidth="1"/>
    <col min="3" max="6" width="30" customWidth="1"/>
  </cols>
  <sheetData>
    <row r="1" spans="1:6" ht="15.75" customHeight="1" x14ac:dyDescent="0.2">
      <c r="A1" s="28" t="s">
        <v>111</v>
      </c>
      <c r="B1" s="28"/>
      <c r="C1" s="28"/>
      <c r="D1" s="28"/>
      <c r="E1" s="28"/>
      <c r="F1" s="28"/>
    </row>
    <row r="2" spans="1:6" ht="15" customHeight="1" x14ac:dyDescent="0.2">
      <c r="A2" s="29" t="s">
        <v>112</v>
      </c>
      <c r="B2" s="29"/>
      <c r="C2" s="29"/>
      <c r="D2" s="29"/>
      <c r="E2" s="29"/>
      <c r="F2" s="29"/>
    </row>
    <row r="4" spans="1:6" ht="15.75" customHeight="1" x14ac:dyDescent="0.2">
      <c r="A4" s="1" t="s">
        <v>34</v>
      </c>
      <c r="B4" s="1" t="s">
        <v>113</v>
      </c>
      <c r="C4" s="1" t="s">
        <v>114</v>
      </c>
      <c r="D4" s="1" t="s">
        <v>41</v>
      </c>
      <c r="E4" s="1" t="s">
        <v>115</v>
      </c>
      <c r="F4" s="1" t="s">
        <v>116</v>
      </c>
    </row>
    <row r="5" spans="1:6" ht="15" customHeight="1" x14ac:dyDescent="0.2">
      <c r="A5" s="14" t="s">
        <v>45</v>
      </c>
      <c r="B5" s="14" t="s">
        <v>117</v>
      </c>
      <c r="C5" s="14" t="s">
        <v>118</v>
      </c>
      <c r="D5" s="14">
        <v>20</v>
      </c>
      <c r="E5" s="14" t="s">
        <v>119</v>
      </c>
      <c r="F5" s="14" t="s">
        <v>120</v>
      </c>
    </row>
    <row r="6" spans="1:6" ht="15" customHeight="1" x14ac:dyDescent="0.2">
      <c r="A6" s="14" t="s">
        <v>48</v>
      </c>
      <c r="B6" s="14" t="s">
        <v>121</v>
      </c>
      <c r="C6" s="14" t="s">
        <v>122</v>
      </c>
      <c r="D6" s="14">
        <v>71</v>
      </c>
      <c r="E6" s="14" t="s">
        <v>123</v>
      </c>
      <c r="F6" s="14" t="s">
        <v>124</v>
      </c>
    </row>
    <row r="7" spans="1:6" ht="15" customHeight="1" x14ac:dyDescent="0.2">
      <c r="A7" s="14" t="s">
        <v>50</v>
      </c>
      <c r="B7" s="14" t="s">
        <v>125</v>
      </c>
      <c r="C7" s="14" t="s">
        <v>126</v>
      </c>
      <c r="D7" s="14">
        <v>50</v>
      </c>
      <c r="E7" s="14" t="s">
        <v>127</v>
      </c>
      <c r="F7" s="14" t="s">
        <v>128</v>
      </c>
    </row>
    <row r="8" spans="1:6" ht="15" customHeight="1" x14ac:dyDescent="0.2">
      <c r="A8" s="14" t="s">
        <v>51</v>
      </c>
      <c r="B8" s="14" t="s">
        <v>129</v>
      </c>
      <c r="C8" s="14" t="s">
        <v>130</v>
      </c>
      <c r="D8" s="14">
        <v>18</v>
      </c>
      <c r="E8" s="14" t="s">
        <v>131</v>
      </c>
      <c r="F8" s="14" t="s">
        <v>132</v>
      </c>
    </row>
    <row r="9" spans="1:6" ht="15" customHeight="1" x14ac:dyDescent="0.2">
      <c r="A9" s="15" t="s">
        <v>52</v>
      </c>
      <c r="B9" s="15" t="s">
        <v>133</v>
      </c>
      <c r="C9" s="15" t="s">
        <v>122</v>
      </c>
      <c r="D9" s="15">
        <v>71</v>
      </c>
      <c r="E9" s="15" t="s">
        <v>123</v>
      </c>
      <c r="F9" s="15" t="s">
        <v>124</v>
      </c>
    </row>
    <row r="10" spans="1:6" ht="15" customHeight="1" x14ac:dyDescent="0.2">
      <c r="A10" s="15" t="s">
        <v>54</v>
      </c>
      <c r="B10" s="15" t="s">
        <v>134</v>
      </c>
      <c r="C10" s="15" t="s">
        <v>135</v>
      </c>
      <c r="D10" s="15">
        <v>42</v>
      </c>
      <c r="E10" s="15" t="s">
        <v>131</v>
      </c>
      <c r="F10" s="15" t="s">
        <v>132</v>
      </c>
    </row>
    <row r="11" spans="1:6" ht="15" customHeight="1" x14ac:dyDescent="0.2">
      <c r="A11" s="15" t="s">
        <v>55</v>
      </c>
      <c r="B11" s="15" t="s">
        <v>136</v>
      </c>
      <c r="C11" s="15" t="s">
        <v>137</v>
      </c>
      <c r="D11" s="15">
        <v>45</v>
      </c>
      <c r="E11" s="15" t="s">
        <v>138</v>
      </c>
      <c r="F11" s="15" t="s">
        <v>139</v>
      </c>
    </row>
    <row r="12" spans="1:6" ht="15" customHeight="1" x14ac:dyDescent="0.2">
      <c r="A12" s="15" t="s">
        <v>56</v>
      </c>
      <c r="B12" s="15" t="s">
        <v>140</v>
      </c>
      <c r="C12" s="15" t="s">
        <v>141</v>
      </c>
      <c r="D12" s="15">
        <v>29</v>
      </c>
      <c r="E12" s="15" t="s">
        <v>142</v>
      </c>
      <c r="F12" s="15" t="s">
        <v>143</v>
      </c>
    </row>
    <row r="13" spans="1:6" ht="15" customHeight="1" x14ac:dyDescent="0.2">
      <c r="A13" s="16" t="s">
        <v>144</v>
      </c>
      <c r="E13" s="16" t="s">
        <v>145</v>
      </c>
      <c r="F13" s="17" t="s">
        <v>146</v>
      </c>
    </row>
    <row r="16" spans="1:6" ht="15.75" customHeight="1" x14ac:dyDescent="0.2">
      <c r="A16" s="21" t="s">
        <v>147</v>
      </c>
      <c r="B16" s="21"/>
      <c r="C16" s="21"/>
      <c r="D16" s="21"/>
      <c r="E16" s="21"/>
      <c r="F16" s="21"/>
    </row>
    <row r="17" spans="1:6" ht="15.75" customHeight="1" x14ac:dyDescent="0.2">
      <c r="A17" s="1" t="s">
        <v>34</v>
      </c>
      <c r="B17" s="1" t="s">
        <v>35</v>
      </c>
      <c r="C17" s="1" t="s">
        <v>148</v>
      </c>
      <c r="D17" s="1" t="s">
        <v>149</v>
      </c>
      <c r="E17" s="1" t="s">
        <v>150</v>
      </c>
      <c r="F17" s="1" t="s">
        <v>151</v>
      </c>
    </row>
    <row r="18" spans="1:6" ht="15" customHeight="1" x14ac:dyDescent="0.2">
      <c r="A18" s="14" t="s">
        <v>45</v>
      </c>
      <c r="B18" s="14" t="s">
        <v>152</v>
      </c>
      <c r="C18" s="14" t="s">
        <v>153</v>
      </c>
      <c r="D18" s="14" t="s">
        <v>154</v>
      </c>
      <c r="E18" s="14" t="s">
        <v>155</v>
      </c>
      <c r="F18" s="14" t="s">
        <v>156</v>
      </c>
    </row>
    <row r="19" spans="1:6" ht="15" customHeight="1" x14ac:dyDescent="0.2">
      <c r="A19" s="14" t="s">
        <v>48</v>
      </c>
      <c r="B19" s="14" t="s">
        <v>152</v>
      </c>
      <c r="C19" s="14" t="s">
        <v>157</v>
      </c>
      <c r="D19" s="14" t="s">
        <v>158</v>
      </c>
      <c r="E19" s="14" t="s">
        <v>159</v>
      </c>
      <c r="F19" s="14" t="s">
        <v>160</v>
      </c>
    </row>
    <row r="20" spans="1:6" ht="15" customHeight="1" x14ac:dyDescent="0.2">
      <c r="A20" s="14" t="s">
        <v>50</v>
      </c>
      <c r="B20" s="14" t="s">
        <v>152</v>
      </c>
      <c r="C20" s="14" t="s">
        <v>161</v>
      </c>
      <c r="D20" s="14" t="s">
        <v>162</v>
      </c>
      <c r="E20" s="14" t="s">
        <v>163</v>
      </c>
      <c r="F20" s="14" t="s">
        <v>164</v>
      </c>
    </row>
    <row r="21" spans="1:6" ht="15" customHeight="1" x14ac:dyDescent="0.2">
      <c r="A21" s="14" t="s">
        <v>51</v>
      </c>
      <c r="B21" s="14" t="s">
        <v>152</v>
      </c>
      <c r="C21" s="14" t="s">
        <v>165</v>
      </c>
      <c r="D21" s="14" t="s">
        <v>166</v>
      </c>
      <c r="E21" s="14" t="s">
        <v>167</v>
      </c>
      <c r="F21" s="14" t="s">
        <v>168</v>
      </c>
    </row>
    <row r="22" spans="1:6" ht="15" customHeight="1" x14ac:dyDescent="0.2">
      <c r="A22" s="15" t="s">
        <v>52</v>
      </c>
      <c r="B22" s="15" t="s">
        <v>169</v>
      </c>
      <c r="C22" s="15" t="s">
        <v>170</v>
      </c>
      <c r="D22" s="15" t="s">
        <v>158</v>
      </c>
      <c r="E22" s="15" t="s">
        <v>171</v>
      </c>
      <c r="F22" s="15" t="s">
        <v>160</v>
      </c>
    </row>
    <row r="23" spans="1:6" ht="15" customHeight="1" x14ac:dyDescent="0.2">
      <c r="A23" s="15" t="s">
        <v>54</v>
      </c>
      <c r="B23" s="15" t="s">
        <v>169</v>
      </c>
      <c r="C23" s="15" t="s">
        <v>172</v>
      </c>
      <c r="D23" s="15" t="s">
        <v>173</v>
      </c>
      <c r="E23" s="15" t="s">
        <v>174</v>
      </c>
      <c r="F23" s="15" t="s">
        <v>175</v>
      </c>
    </row>
    <row r="24" spans="1:6" ht="15" customHeight="1" x14ac:dyDescent="0.2">
      <c r="A24" s="15" t="s">
        <v>55</v>
      </c>
      <c r="B24" s="15" t="s">
        <v>169</v>
      </c>
      <c r="C24" s="15" t="s">
        <v>176</v>
      </c>
      <c r="D24" s="15" t="s">
        <v>177</v>
      </c>
      <c r="E24" s="15" t="s">
        <v>178</v>
      </c>
      <c r="F24" s="15" t="s">
        <v>179</v>
      </c>
    </row>
    <row r="25" spans="1:6" ht="15" customHeight="1" x14ac:dyDescent="0.2">
      <c r="A25" s="15" t="s">
        <v>56</v>
      </c>
      <c r="B25" s="15" t="s">
        <v>169</v>
      </c>
      <c r="C25" s="15" t="s">
        <v>180</v>
      </c>
      <c r="D25" s="15" t="s">
        <v>181</v>
      </c>
      <c r="E25" s="15" t="s">
        <v>182</v>
      </c>
      <c r="F25" s="15" t="s">
        <v>183</v>
      </c>
    </row>
  </sheetData>
  <mergeCells count="3">
    <mergeCell ref="A1:F1"/>
    <mergeCell ref="A2:F2"/>
    <mergeCell ref="A16:F1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zoomScaleNormal="100" workbookViewId="0">
      <selection activeCell="C21" sqref="C21"/>
    </sheetView>
  </sheetViews>
  <sheetFormatPr baseColWidth="10" defaultColWidth="8.6640625" defaultRowHeight="15" x14ac:dyDescent="0.2"/>
  <cols>
    <col min="1" max="1" width="34.1640625" customWidth="1"/>
    <col min="2" max="4" width="25" customWidth="1"/>
  </cols>
  <sheetData>
    <row r="1" spans="1:4" ht="15.75" customHeight="1" x14ac:dyDescent="0.2">
      <c r="A1" s="21" t="s">
        <v>184</v>
      </c>
      <c r="B1" s="21"/>
      <c r="C1" s="21"/>
      <c r="D1" s="21"/>
    </row>
    <row r="3" spans="1:4" ht="15.75" customHeight="1" x14ac:dyDescent="0.2">
      <c r="A3" s="1" t="s">
        <v>34</v>
      </c>
      <c r="B3" s="1" t="s">
        <v>185</v>
      </c>
      <c r="C3" s="1" t="s">
        <v>186</v>
      </c>
      <c r="D3" s="1" t="s">
        <v>187</v>
      </c>
    </row>
    <row r="4" spans="1:4" ht="15" customHeight="1" x14ac:dyDescent="0.2">
      <c r="A4" s="3" t="s">
        <v>45</v>
      </c>
      <c r="B4" s="18">
        <v>1000</v>
      </c>
      <c r="C4" s="3">
        <v>10</v>
      </c>
      <c r="D4" s="18">
        <v>100</v>
      </c>
    </row>
    <row r="5" spans="1:4" ht="15" customHeight="1" x14ac:dyDescent="0.2">
      <c r="A5" s="3" t="s">
        <v>48</v>
      </c>
      <c r="B5" s="18">
        <v>497</v>
      </c>
      <c r="C5" s="3">
        <v>3</v>
      </c>
      <c r="D5" s="18">
        <v>166</v>
      </c>
    </row>
    <row r="6" spans="1:4" ht="15" customHeight="1" x14ac:dyDescent="0.2">
      <c r="A6" s="3" t="s">
        <v>50</v>
      </c>
      <c r="B6" s="18">
        <v>500</v>
      </c>
      <c r="C6" s="3">
        <v>3</v>
      </c>
      <c r="D6" s="18">
        <v>166</v>
      </c>
    </row>
    <row r="7" spans="1:4" ht="15" customHeight="1" x14ac:dyDescent="0.2">
      <c r="A7" s="3" t="s">
        <v>51</v>
      </c>
      <c r="B7" s="18">
        <v>504</v>
      </c>
      <c r="C7" s="3">
        <v>10</v>
      </c>
      <c r="D7" s="18">
        <v>50</v>
      </c>
    </row>
    <row r="8" spans="1:4" ht="15" customHeight="1" x14ac:dyDescent="0.2">
      <c r="A8" s="3" t="s">
        <v>52</v>
      </c>
      <c r="B8" s="18">
        <v>497</v>
      </c>
      <c r="C8" s="3">
        <v>10</v>
      </c>
      <c r="D8" s="18">
        <v>50</v>
      </c>
    </row>
    <row r="9" spans="1:4" ht="15" customHeight="1" x14ac:dyDescent="0.2">
      <c r="A9" s="3" t="s">
        <v>54</v>
      </c>
      <c r="B9" s="18">
        <v>504</v>
      </c>
      <c r="C9" s="3">
        <v>10</v>
      </c>
      <c r="D9" s="18">
        <v>50</v>
      </c>
    </row>
    <row r="10" spans="1:4" ht="15" customHeight="1" x14ac:dyDescent="0.2">
      <c r="A10" s="3" t="s">
        <v>55</v>
      </c>
      <c r="B10" s="18">
        <v>495</v>
      </c>
      <c r="C10" s="3">
        <v>10</v>
      </c>
      <c r="D10" s="18">
        <v>50</v>
      </c>
    </row>
    <row r="11" spans="1:4" ht="15" customHeight="1" x14ac:dyDescent="0.2">
      <c r="A11" s="3" t="s">
        <v>56</v>
      </c>
      <c r="B11" s="18">
        <v>493</v>
      </c>
      <c r="C11" s="3">
        <v>10</v>
      </c>
      <c r="D11" s="18">
        <v>49</v>
      </c>
    </row>
    <row r="12" spans="1:4" ht="15" customHeight="1" x14ac:dyDescent="0.2">
      <c r="A12" s="10" t="s">
        <v>57</v>
      </c>
      <c r="B12" s="19">
        <f>SUM(B4:B11)</f>
        <v>4490</v>
      </c>
      <c r="C12" s="11"/>
      <c r="D12" s="19">
        <f>SUM(D4:D11)</f>
        <v>681</v>
      </c>
    </row>
    <row r="14" spans="1:4" ht="15" customHeight="1" x14ac:dyDescent="0.2">
      <c r="A14" s="16" t="s">
        <v>188</v>
      </c>
      <c r="B14" s="20">
        <f>D12/1000000</f>
        <v>6.8099999999999996E-4</v>
      </c>
    </row>
    <row r="15" spans="1:4" ht="32.25" customHeight="1" x14ac:dyDescent="0.2">
      <c r="A15" s="30" t="s">
        <v>189</v>
      </c>
      <c r="B15" s="30"/>
      <c r="C15" s="30"/>
      <c r="D15" s="30"/>
    </row>
  </sheetData>
  <mergeCells count="2">
    <mergeCell ref="A1:D1"/>
    <mergeCell ref="A15:D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Basket Overview</vt:lpstr>
      <vt:lpstr>Thesis Confirmation</vt:lpstr>
      <vt:lpstr>Order Construction</vt:lpstr>
      <vt:lpstr>Daily Theta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Andrew Blount</cp:lastModifiedBy>
  <cp:revision>0</cp:revision>
  <dcterms:created xsi:type="dcterms:W3CDTF">2026-04-06T03:18:25Z</dcterms:created>
  <dcterms:modified xsi:type="dcterms:W3CDTF">2026-04-07T22:57:21Z</dcterms:modified>
  <dc:language>en-US</dc:language>
</cp:coreProperties>
</file>